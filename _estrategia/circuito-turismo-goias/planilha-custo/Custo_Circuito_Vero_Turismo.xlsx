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 por Cidade" sheetId="1" state="visible" r:id="rId3"/>
    <sheet name="Simulação Circui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<sst xmlns="http://schemas.openxmlformats.org/spreadsheetml/2006/main" count="82" uniqueCount="72">
  <si>
    <t xml:space="preserve">CIRCUITO VERO DE TURISMO — CUSTO POR CIDADE</t>
  </si>
  <si>
    <t xml:space="preserve">Modelo para precificação de 1 imersão (1 dia) em 1 cidade. Preencha as células amarelas; o restante calcula sozinho.</t>
  </si>
  <si>
    <t xml:space="preserve">LEGENDA:</t>
  </si>
  <si>
    <t xml:space="preserve">amarelo = preencher</t>
  </si>
  <si>
    <t xml:space="preserve">azul = estimativa</t>
  </si>
  <si>
    <t xml:space="preserve">preto = fórmula</t>
  </si>
  <si>
    <t xml:space="preserve">PARÂMETROS DA CIDADE</t>
  </si>
  <si>
    <t xml:space="preserve">Cidade</t>
  </si>
  <si>
    <t xml:space="preserve">Exemplo: Aruanã-GO</t>
  </si>
  <si>
    <t xml:space="preserve">Nome da cidade-alvo</t>
  </si>
  <si>
    <t xml:space="preserve">Número de participantes</t>
  </si>
  <si>
    <t xml:space="preserve">Capacidade da sala / mobilização da secretaria</t>
  </si>
  <si>
    <t xml:space="preserve">Distância de Goiânia (km, só ida)</t>
  </si>
  <si>
    <t xml:space="preserve">Usada no cálculo de deslocamento (ida e volta)</t>
  </si>
  <si>
    <t xml:space="preserve">Pessoas na equipe</t>
  </si>
  <si>
    <t xml:space="preserve">Ex.: Lucas + Ernane + 1 apoio</t>
  </si>
  <si>
    <t xml:space="preserve">Pernoites da equipe</t>
  </si>
  <si>
    <t xml:space="preserve">0 se bate-volta; 1 se dorme na véspera</t>
  </si>
  <si>
    <t xml:space="preserve">1. CONDUÇÃO E CONTEÚDO</t>
  </si>
  <si>
    <t xml:space="preserve">Valor unit.</t>
  </si>
  <si>
    <t xml:space="preserve">Qtde</t>
  </si>
  <si>
    <t xml:space="preserve">Subtotal</t>
  </si>
  <si>
    <t xml:space="preserve">Cachê de condução (dia de imersão, dupla)</t>
  </si>
  <si>
    <t xml:space="preserve">Valor da entrega Vero: Lucas + Ernane, dia inteiro — VALIDAR</t>
  </si>
  <si>
    <t xml:space="preserve">Preparação e adaptação de conteúdo (por cidade)</t>
  </si>
  <si>
    <t xml:space="preserve">Ajuste de exemplos à vocação turística local — VALIDAR</t>
  </si>
  <si>
    <t xml:space="preserve">Subtotal — Condução</t>
  </si>
  <si>
    <t xml:space="preserve">2. MATERIAL DO PARTICIPANTE</t>
  </si>
  <si>
    <t xml:space="preserve">Apostila + canvas impressos (por participante)</t>
  </si>
  <si>
    <t xml:space="preserve">Impressão colorida, encadernada, padrão Vero — cotar gráfica</t>
  </si>
  <si>
    <t xml:space="preserve">Certificado de participação (por participante)</t>
  </si>
  <si>
    <t xml:space="preserve">Impresso, assinado — entregável de prestação de contas</t>
  </si>
  <si>
    <t xml:space="preserve">Crachá + caneta + kit (por participante)</t>
  </si>
  <si>
    <t xml:space="preserve">Subtotal — Material</t>
  </si>
  <si>
    <t xml:space="preserve">3. DESLOCAMENTO E ESTADIA DA EQUIPE</t>
  </si>
  <si>
    <t xml:space="preserve">Custo por km rodado (combustível + desgaste)</t>
  </si>
  <si>
    <t xml:space="preserve">Qtde = distância × 2 (ida e volta), automática</t>
  </si>
  <si>
    <t xml:space="preserve">Hospedagem (por pessoa por noite)</t>
  </si>
  <si>
    <t xml:space="preserve">Qtde = pessoas × pernoites, automática. Dica: pousada local = gasto na própria cidade</t>
  </si>
  <si>
    <t xml:space="preserve">Alimentação da equipe (por pessoa/dia)</t>
  </si>
  <si>
    <t xml:space="preserve">Qtde sugerida: pessoas × 2 dias (véspera + evento) — ajustar</t>
  </si>
  <si>
    <t xml:space="preserve">Subtotal — Deslocamento</t>
  </si>
  <si>
    <t xml:space="preserve">4. ESTRUTURA DO EVENTO</t>
  </si>
  <si>
    <t xml:space="preserve">Espaço (auditório/salão) — se não cedido pela prefeitura</t>
  </si>
  <si>
    <t xml:space="preserve">Contrapartida comum do município: espaço cedido → deixar R$ 0</t>
  </si>
  <si>
    <t xml:space="preserve">Coffee break (por participante, 2 pausas)</t>
  </si>
  <si>
    <t xml:space="preserve">Cotar com fornecedor local — gasto fica na cidade</t>
  </si>
  <si>
    <t xml:space="preserve">Som, projetor e apoio técnico</t>
  </si>
  <si>
    <t xml:space="preserve">R$ 0 se a prefeitura ceder — VALIDAR por cidade</t>
  </si>
  <si>
    <t xml:space="preserve">Registro fotográfico (prestação de contas)</t>
  </si>
  <si>
    <t xml:space="preserve">Fotógrafo local ou membro da equipe</t>
  </si>
  <si>
    <t xml:space="preserve">Subtotal — Estrutura</t>
  </si>
  <si>
    <t xml:space="preserve">RESUMO</t>
  </si>
  <si>
    <t xml:space="preserve">Custo direto (1+2+3+4)</t>
  </si>
  <si>
    <t xml:space="preserve">Contingência (%)</t>
  </si>
  <si>
    <t xml:space="preserve">Impostos sobre nota fiscal (%)</t>
  </si>
  <si>
    <t xml:space="preserve">VALIDAR com contador: regime tributário e ISS do município</t>
  </si>
  <si>
    <t xml:space="preserve">VALOR TOTAL POR CIDADE</t>
  </si>
  <si>
    <t xml:space="preserve">Custo por participante</t>
  </si>
  <si>
    <t xml:space="preserve">Argumento para o gabinete: custo de formar 1 empresário local</t>
  </si>
  <si>
    <t xml:space="preserve">Obs.: valores em azul são estimativas iniciais (18/07/2026) informadas pela Vero — todos a validar antes da proposta formal.</t>
  </si>
  <si>
    <t xml:space="preserve">SIMULAÇÃO — CIRCUITO COMPLETO (FASE 1)</t>
  </si>
  <si>
    <t xml:space="preserve">Estimativa rápida do piloto: informe as cidades e um custo médio por cidade (da aba anterior).</t>
  </si>
  <si>
    <t xml:space="preserve">Custo médio por cidade (referência)</t>
  </si>
  <si>
    <t xml:space="preserve">Vem da aba "Custo por Cidade" — verde = link entre abas</t>
  </si>
  <si>
    <t xml:space="preserve">Participantes</t>
  </si>
  <si>
    <t xml:space="preserve">Ajuste local</t>
  </si>
  <si>
    <t xml:space="preserve">Custo estimado</t>
  </si>
  <si>
    <t xml:space="preserve">Aruanã-GO</t>
  </si>
  <si>
    <t xml:space="preserve">Ajuste local: 1,00 = igual à referência; 1,20 = cidade 20% mais cara (distância, estrutura)</t>
  </si>
  <si>
    <t xml:space="preserve">TOTAL DO CIRCUITO (FASE 1)</t>
  </si>
  <si>
    <t xml:space="preserve">Empresários formados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</si>
</sst>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&quot;R$ &quot;#,##0.00;&quot;(R$ &quot;#,##0.00\);\-"/>
    <numFmt numFmtId="167" formatCode="0.0%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52B5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52B5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052B5A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52B5A"/>
        <bgColor rgb="FF333333"/>
      </patternFill>
    </fill>
    <fill>
      <patternFill patternType="solid">
        <fgColor rgb="FFF5F1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1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52B5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46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  <c r="D5" s="5" t="s">
        <v>4</v>
      </c>
      <c r="E5" s="6" t="s">
        <v>5</v>
      </c>
    </row>
    <row r="7" customFormat="false" ht="15" hidden="false" customHeight="false" outlineLevel="0" collapsed="false">
      <c r="B7" s="7" t="s">
        <v>6</v>
      </c>
      <c r="C7" s="8"/>
      <c r="D7" s="8"/>
      <c r="E7" s="8"/>
    </row>
    <row r="8" customFormat="false" ht="15" hidden="false" customHeight="false" outlineLevel="0" collapsed="false">
      <c r="B8" s="6" t="s">
        <v>7</v>
      </c>
      <c r="C8" s="9" t="s">
        <v>8</v>
      </c>
      <c r="F8" s="2" t="s">
        <v>9</v>
      </c>
    </row>
    <row r="9" customFormat="false" ht="15" hidden="false" customHeight="false" outlineLevel="0" collapsed="false">
      <c r="B9" s="6" t="s">
        <v>10</v>
      </c>
      <c r="C9" s="10" t="n">
        <v>40</v>
      </c>
      <c r="F9" s="2" t="s">
        <v>11</v>
      </c>
    </row>
    <row r="10" customFormat="false" ht="15" hidden="false" customHeight="false" outlineLevel="0" collapsed="false">
      <c r="B10" s="6" t="s">
        <v>12</v>
      </c>
      <c r="C10" s="10" t="n">
        <v>310</v>
      </c>
      <c r="F10" s="2" t="s">
        <v>13</v>
      </c>
    </row>
    <row r="11" customFormat="false" ht="15" hidden="false" customHeight="false" outlineLevel="0" collapsed="false">
      <c r="B11" s="6" t="s">
        <v>14</v>
      </c>
      <c r="C11" s="10" t="n">
        <v>3</v>
      </c>
      <c r="F11" s="2" t="s">
        <v>15</v>
      </c>
    </row>
    <row r="12" customFormat="false" ht="15" hidden="false" customHeight="false" outlineLevel="0" collapsed="false">
      <c r="B12" s="6" t="s">
        <v>16</v>
      </c>
      <c r="C12" s="10" t="n">
        <v>1</v>
      </c>
      <c r="F12" s="2" t="s">
        <v>17</v>
      </c>
    </row>
    <row r="14" customFormat="false" ht="15" hidden="false" customHeight="false" outlineLevel="0" collapsed="false">
      <c r="B14" s="7" t="s">
        <v>18</v>
      </c>
      <c r="C14" s="7" t="s">
        <v>19</v>
      </c>
      <c r="D14" s="7" t="s">
        <v>20</v>
      </c>
      <c r="E14" s="7" t="s">
        <v>21</v>
      </c>
    </row>
    <row r="15" customFormat="false" ht="15" hidden="false" customHeight="false" outlineLevel="0" collapsed="false">
      <c r="B15" s="6" t="s">
        <v>22</v>
      </c>
      <c r="C15" s="11" t="n">
        <v>6000</v>
      </c>
      <c r="D15" s="10" t="n">
        <v>1</v>
      </c>
      <c r="E15" s="12" t="n">
        <f aca="false">C15*D15</f>
        <v>6000</v>
      </c>
      <c r="F15" s="2" t="s">
        <v>23</v>
      </c>
    </row>
    <row r="16" customFormat="false" ht="15" hidden="false" customHeight="false" outlineLevel="0" collapsed="false">
      <c r="B16" s="6" t="s">
        <v>24</v>
      </c>
      <c r="C16" s="11" t="n">
        <v>1500</v>
      </c>
      <c r="D16" s="10" t="n">
        <v>1</v>
      </c>
      <c r="E16" s="12" t="n">
        <f aca="false">C16*D16</f>
        <v>1500</v>
      </c>
      <c r="F16" s="2" t="s">
        <v>25</v>
      </c>
    </row>
    <row r="17" customFormat="false" ht="15" hidden="false" customHeight="false" outlineLevel="0" collapsed="false">
      <c r="B17" s="13" t="s">
        <v>26</v>
      </c>
      <c r="E17" s="14" t="n">
        <f aca="false">SUM(E15:E16)</f>
        <v>7500</v>
      </c>
    </row>
    <row r="19" customFormat="false" ht="15" hidden="false" customHeight="false" outlineLevel="0" collapsed="false">
      <c r="B19" s="7" t="s">
        <v>27</v>
      </c>
      <c r="C19" s="7" t="s">
        <v>19</v>
      </c>
      <c r="D19" s="7" t="s">
        <v>20</v>
      </c>
      <c r="E19" s="7" t="s">
        <v>21</v>
      </c>
    </row>
    <row r="20" customFormat="false" ht="15" hidden="false" customHeight="false" outlineLevel="0" collapsed="false">
      <c r="B20" s="6" t="s">
        <v>28</v>
      </c>
      <c r="C20" s="11" t="n">
        <v>45</v>
      </c>
      <c r="D20" s="15" t="n">
        <f aca="false">C9</f>
        <v>40</v>
      </c>
      <c r="E20" s="12" t="n">
        <f aca="false">C20*D20</f>
        <v>1800</v>
      </c>
      <c r="F20" s="2" t="s">
        <v>29</v>
      </c>
    </row>
    <row r="21" customFormat="false" ht="15" hidden="false" customHeight="false" outlineLevel="0" collapsed="false">
      <c r="B21" s="6" t="s">
        <v>30</v>
      </c>
      <c r="C21" s="11" t="n">
        <v>5</v>
      </c>
      <c r="D21" s="15" t="n">
        <f aca="false">C9</f>
        <v>40</v>
      </c>
      <c r="E21" s="12" t="n">
        <f aca="false">C21*D21</f>
        <v>200</v>
      </c>
      <c r="F21" s="2" t="s">
        <v>31</v>
      </c>
    </row>
    <row r="22" customFormat="false" ht="15" hidden="false" customHeight="false" outlineLevel="0" collapsed="false">
      <c r="B22" s="6" t="s">
        <v>32</v>
      </c>
      <c r="C22" s="11" t="n">
        <v>8</v>
      </c>
      <c r="D22" s="15" t="n">
        <f aca="false">C9</f>
        <v>40</v>
      </c>
      <c r="E22" s="12" t="n">
        <f aca="false">C22*D22</f>
        <v>320</v>
      </c>
      <c r="F22" s="2"/>
    </row>
    <row r="23" customFormat="false" ht="15" hidden="false" customHeight="false" outlineLevel="0" collapsed="false">
      <c r="B23" s="13" t="s">
        <v>33</v>
      </c>
      <c r="E23" s="14" t="n">
        <f aca="false">SUM(E20:E22)</f>
        <v>2320</v>
      </c>
    </row>
    <row r="25" customFormat="false" ht="15" hidden="false" customHeight="false" outlineLevel="0" collapsed="false">
      <c r="B25" s="7" t="s">
        <v>34</v>
      </c>
      <c r="C25" s="7" t="s">
        <v>19</v>
      </c>
      <c r="D25" s="7" t="s">
        <v>20</v>
      </c>
      <c r="E25" s="7" t="s">
        <v>21</v>
      </c>
    </row>
    <row r="26" customFormat="false" ht="15" hidden="false" customHeight="false" outlineLevel="0" collapsed="false">
      <c r="B26" s="6" t="s">
        <v>35</v>
      </c>
      <c r="C26" s="11" t="n">
        <v>1.8</v>
      </c>
      <c r="D26" s="15" t="n">
        <f aca="false">C10*2</f>
        <v>620</v>
      </c>
      <c r="E26" s="12" t="n">
        <f aca="false">C26*D26</f>
        <v>1116</v>
      </c>
      <c r="F26" s="2" t="s">
        <v>36</v>
      </c>
    </row>
    <row r="27" customFormat="false" ht="15" hidden="false" customHeight="false" outlineLevel="0" collapsed="false">
      <c r="B27" s="6" t="s">
        <v>37</v>
      </c>
      <c r="C27" s="11" t="n">
        <v>220</v>
      </c>
      <c r="D27" s="15" t="n">
        <f aca="false">C11*C12</f>
        <v>3</v>
      </c>
      <c r="E27" s="12" t="n">
        <f aca="false">C27*D27</f>
        <v>660</v>
      </c>
      <c r="F27" s="2" t="s">
        <v>38</v>
      </c>
    </row>
    <row r="28" customFormat="false" ht="15" hidden="false" customHeight="false" outlineLevel="0" collapsed="false">
      <c r="B28" s="6" t="s">
        <v>39</v>
      </c>
      <c r="C28" s="11" t="n">
        <v>90</v>
      </c>
      <c r="D28" s="15" t="n">
        <f aca="false">C11*2</f>
        <v>6</v>
      </c>
      <c r="E28" s="12" t="n">
        <f aca="false">C28*D28</f>
        <v>540</v>
      </c>
      <c r="F28" s="2" t="s">
        <v>40</v>
      </c>
    </row>
    <row r="29" customFormat="false" ht="15" hidden="false" customHeight="false" outlineLevel="0" collapsed="false">
      <c r="B29" s="13" t="s">
        <v>41</v>
      </c>
      <c r="E29" s="14" t="n">
        <f aca="false">SUM(E26:E28)</f>
        <v>2316</v>
      </c>
    </row>
    <row r="31" customFormat="false" ht="15" hidden="false" customHeight="false" outlineLevel="0" collapsed="false">
      <c r="B31" s="7" t="s">
        <v>42</v>
      </c>
      <c r="C31" s="7" t="s">
        <v>19</v>
      </c>
      <c r="D31" s="7" t="s">
        <v>20</v>
      </c>
      <c r="E31" s="7" t="s">
        <v>21</v>
      </c>
    </row>
    <row r="32" customFormat="false" ht="15" hidden="false" customHeight="false" outlineLevel="0" collapsed="false">
      <c r="B32" s="6" t="s">
        <v>43</v>
      </c>
      <c r="C32" s="11" t="n">
        <v>0</v>
      </c>
      <c r="D32" s="10" t="n">
        <v>1</v>
      </c>
      <c r="E32" s="12" t="n">
        <f aca="false">C32*D32</f>
        <v>0</v>
      </c>
      <c r="F32" s="2" t="s">
        <v>44</v>
      </c>
    </row>
    <row r="33" customFormat="false" ht="15" hidden="false" customHeight="false" outlineLevel="0" collapsed="false">
      <c r="B33" s="6" t="s">
        <v>45</v>
      </c>
      <c r="C33" s="11" t="n">
        <v>25</v>
      </c>
      <c r="D33" s="15" t="n">
        <f aca="false">C9</f>
        <v>40</v>
      </c>
      <c r="E33" s="12" t="n">
        <f aca="false">C33*D33</f>
        <v>1000</v>
      </c>
      <c r="F33" s="2" t="s">
        <v>46</v>
      </c>
    </row>
    <row r="34" customFormat="false" ht="15" hidden="false" customHeight="false" outlineLevel="0" collapsed="false">
      <c r="B34" s="6" t="s">
        <v>47</v>
      </c>
      <c r="C34" s="11" t="n">
        <v>800</v>
      </c>
      <c r="D34" s="10" t="n">
        <v>1</v>
      </c>
      <c r="E34" s="12" t="n">
        <f aca="false">C34*D34</f>
        <v>800</v>
      </c>
      <c r="F34" s="2" t="s">
        <v>48</v>
      </c>
    </row>
    <row r="35" customFormat="false" ht="15" hidden="false" customHeight="false" outlineLevel="0" collapsed="false">
      <c r="B35" s="6" t="s">
        <v>49</v>
      </c>
      <c r="C35" s="11" t="n">
        <v>600</v>
      </c>
      <c r="D35" s="10" t="n">
        <v>1</v>
      </c>
      <c r="E35" s="12" t="n">
        <f aca="false">C35*D35</f>
        <v>600</v>
      </c>
      <c r="F35" s="2" t="s">
        <v>50</v>
      </c>
    </row>
    <row r="36" customFormat="false" ht="15" hidden="false" customHeight="false" outlineLevel="0" collapsed="false">
      <c r="B36" s="13" t="s">
        <v>51</v>
      </c>
      <c r="E36" s="14" t="n">
        <f aca="false">SUM(E32:E35)</f>
        <v>2400</v>
      </c>
    </row>
    <row r="38" customFormat="false" ht="15" hidden="false" customHeight="false" outlineLevel="0" collapsed="false">
      <c r="B38" s="7" t="s">
        <v>52</v>
      </c>
      <c r="C38" s="8"/>
      <c r="D38" s="8"/>
      <c r="E38" s="8"/>
    </row>
    <row r="39" customFormat="false" ht="15" hidden="false" customHeight="false" outlineLevel="0" collapsed="false">
      <c r="B39" s="6" t="s">
        <v>53</v>
      </c>
      <c r="E39" s="16" t="n">
        <f aca="false">E17+E23+E29+E36</f>
        <v>14536</v>
      </c>
    </row>
    <row r="40" customFormat="false" ht="15" hidden="false" customHeight="false" outlineLevel="0" collapsed="false">
      <c r="B40" s="6" t="s">
        <v>54</v>
      </c>
      <c r="C40" s="17" t="n">
        <v>0.1</v>
      </c>
      <c r="E40" s="16" t="n">
        <f aca="false">E39*C40</f>
        <v>1453.6</v>
      </c>
    </row>
    <row r="41" customFormat="false" ht="15" hidden="false" customHeight="false" outlineLevel="0" collapsed="false">
      <c r="B41" s="6" t="s">
        <v>55</v>
      </c>
      <c r="C41" s="17" t="n">
        <v>0.16</v>
      </c>
      <c r="E41" s="16" t="n">
        <f aca="false">(E39+E40)*C41</f>
        <v>2558.336</v>
      </c>
      <c r="F41" s="2" t="s">
        <v>56</v>
      </c>
    </row>
    <row r="43" customFormat="false" ht="15" hidden="false" customHeight="false" outlineLevel="0" collapsed="false">
      <c r="B43" s="18" t="s">
        <v>57</v>
      </c>
      <c r="E43" s="19" t="n">
        <f aca="false">E39+E40+E41</f>
        <v>18547.936</v>
      </c>
    </row>
    <row r="44" customFormat="false" ht="15" hidden="false" customHeight="false" outlineLevel="0" collapsed="false">
      <c r="B44" s="6" t="s">
        <v>58</v>
      </c>
      <c r="E44" s="20" t="n">
        <f aca="false">IF(C9&gt;0,E43/C9,0)</f>
        <v>463.6984</v>
      </c>
      <c r="F44" s="2" t="s">
        <v>59</v>
      </c>
    </row>
    <row r="46" customFormat="false" ht="15" hidden="false" customHeight="false" outlineLevel="0" collapsed="false">
      <c r="B46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40"/>
  </cols>
  <sheetData>
    <row r="2" customFormat="false" ht="19.7" hidden="false" customHeight="false" outlineLevel="0" collapsed="false">
      <c r="B2" s="1" t="s">
        <v>61</v>
      </c>
    </row>
    <row r="3" customFormat="false" ht="15" hidden="false" customHeight="false" outlineLevel="0" collapsed="false">
      <c r="B3" s="2" t="s">
        <v>62</v>
      </c>
    </row>
    <row r="5" customFormat="false" ht="15" hidden="false" customHeight="false" outlineLevel="0" collapsed="false">
      <c r="B5" s="6" t="s">
        <v>63</v>
      </c>
      <c r="C5" s="21" t="n">
        <f aca="false">'Custo por Cidade'!E43</f>
        <v>18547.936</v>
      </c>
      <c r="F5" s="2" t="s">
        <v>64</v>
      </c>
    </row>
    <row r="7" customFormat="false" ht="15" hidden="false" customHeight="false" outlineLevel="0" collapsed="false">
      <c r="B7" s="7" t="s">
        <v>7</v>
      </c>
      <c r="C7" s="7" t="s">
        <v>65</v>
      </c>
      <c r="D7" s="7" t="s">
        <v>66</v>
      </c>
      <c r="E7" s="7" t="s">
        <v>67</v>
      </c>
    </row>
    <row r="8" customFormat="false" ht="15" hidden="false" customHeight="false" outlineLevel="0" collapsed="false">
      <c r="B8" s="9" t="s">
        <v>68</v>
      </c>
      <c r="C8" s="10" t="n">
        <v>40</v>
      </c>
      <c r="D8" s="22" t="n">
        <v>1</v>
      </c>
      <c r="E8" s="12" t="n">
        <f aca="false">IF(B8="",0,$C$5*D8)</f>
        <v>18547.936</v>
      </c>
      <c r="F8" s="2" t="s">
        <v>69</v>
      </c>
    </row>
    <row r="9" customFormat="false" ht="15" hidden="false" customHeight="false" outlineLevel="0" collapsed="false">
      <c r="B9" s="9"/>
      <c r="C9" s="10" t="n">
        <v>40</v>
      </c>
      <c r="D9" s="22" t="n">
        <v>1</v>
      </c>
      <c r="E9" s="12" t="n">
        <f aca="false">IF(B9="",0,$C$5*D9)</f>
        <v>0</v>
      </c>
    </row>
    <row r="10" customFormat="false" ht="15" hidden="false" customHeight="false" outlineLevel="0" collapsed="false">
      <c r="B10" s="9"/>
      <c r="C10" s="10" t="n">
        <v>40</v>
      </c>
      <c r="D10" s="22" t="n">
        <v>1</v>
      </c>
      <c r="E10" s="12" t="n">
        <f aca="false">IF(B10="",0,$C$5*D10)</f>
        <v>0</v>
      </c>
    </row>
    <row r="11" customFormat="false" ht="15" hidden="false" customHeight="false" outlineLevel="0" collapsed="false">
      <c r="B11" s="9"/>
      <c r="C11" s="10" t="n">
        <v>40</v>
      </c>
      <c r="D11" s="22" t="n">
        <v>1</v>
      </c>
      <c r="E11" s="12" t="n">
        <f aca="false">IF(B11="",0,$C$5*D11)</f>
        <v>0</v>
      </c>
    </row>
    <row r="12" customFormat="false" ht="15" hidden="false" customHeight="false" outlineLevel="0" collapsed="false">
      <c r="B12" s="9"/>
      <c r="C12" s="10" t="n">
        <v>40</v>
      </c>
      <c r="D12" s="22" t="n">
        <v>1</v>
      </c>
      <c r="E12" s="12" t="n">
        <f aca="false">IF(B12="",0,$C$5*D12)</f>
        <v>0</v>
      </c>
    </row>
    <row r="14" customFormat="false" ht="15" hidden="false" customHeight="false" outlineLevel="0" collapsed="false">
      <c r="B14" s="18" t="s">
        <v>70</v>
      </c>
      <c r="E14" s="19" t="n">
        <f aca="false">SUM(E8:E12)</f>
        <v>18547.936</v>
      </c>
    </row>
    <row r="15" customFormat="false" ht="15" hidden="false" customHeight="false" outlineLevel="0" collapsed="false">
      <c r="B15" s="6" t="s">
        <v>71</v>
      </c>
      <c r="E15" s="23" t="n">
        <f aca="false">SUMPRODUCT((E8:E12&gt;0)*C8:C12)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2026-08-03T00:12:06Z</dcterms:created>
  <dc:creator>openpyxl</dc:creator>
  <dc:description/>
  <dc:language>pt-BR</dc:language>
  <cp:lastModifiedBy/>
  <dcterms:modified xsi:type="dcterms:W3CDTF">2026-08-03T00:12:06Z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