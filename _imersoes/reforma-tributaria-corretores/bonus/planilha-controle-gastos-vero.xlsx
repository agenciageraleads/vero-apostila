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ucas-Lenovo/Vero - Escola de Empresários/_imersoes/reforma-tributaria-corretores/bonus/"/>
    </mc:Choice>
  </mc:AlternateContent>
  <xr:revisionPtr revIDLastSave="0" documentId="13_ncr:1_{84757E15-31B6-4742-A0EB-45FA991D5FAB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Painel" sheetId="1" r:id="rId1"/>
    <sheet name="Categorias" sheetId="2" r:id="rId2"/>
    <sheet name="Lançamen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4" i="1"/>
  <c r="C8" i="1"/>
  <c r="C7" i="1"/>
  <c r="C10" i="1" s="1"/>
  <c r="C6" i="1"/>
  <c r="C9" i="1" s="1"/>
  <c r="C29" i="1" l="1"/>
  <c r="D20" i="1" s="1"/>
  <c r="C15" i="1"/>
  <c r="C16" i="1" s="1"/>
  <c r="C11" i="1"/>
  <c r="D21" i="1" l="1"/>
  <c r="D22" i="1"/>
  <c r="D23" i="1"/>
  <c r="D24" i="1"/>
  <c r="D25" i="1"/>
  <c r="D26" i="1"/>
  <c r="D27" i="1"/>
  <c r="D28" i="1"/>
  <c r="D29" i="1"/>
</calcChain>
</file>

<file path=xl/sharedStrings.xml><?xml version="1.0" encoding="utf-8"?>
<sst xmlns="http://schemas.openxmlformats.org/spreadsheetml/2006/main" count="138" uniqueCount="80">
  <si>
    <t>PLANILHA DE CONTROLE DE GASTOS PESSOAIS</t>
  </si>
  <si>
    <t>Vero — Escola de Empresários  ·  controle pessoal do corretor</t>
  </si>
  <si>
    <t>SEU MÊS</t>
  </si>
  <si>
    <t>Renda do mês (comissões) — preencha</t>
  </si>
  <si>
    <t>Gasto total do mês</t>
  </si>
  <si>
    <t>Custo de vida mínimo (soma dos fixos)</t>
  </si>
  <si>
    <t>Sobra ou falta no mês</t>
  </si>
  <si>
    <t>% da renda comprometida</t>
  </si>
  <si>
    <t>Pró-labore sugerido (pague-se ao menos isto)</t>
  </si>
  <si>
    <t>RESERVA</t>
  </si>
  <si>
    <t>Reserva atual — preencha</t>
  </si>
  <si>
    <t>Meta: 3x o custo de vida mínimo</t>
  </si>
  <si>
    <t>Quanto falta para a meta</t>
  </si>
  <si>
    <t>ONDE O DINHEIRO VAI</t>
  </si>
  <si>
    <t>Categoria</t>
  </si>
  <si>
    <t>Gasto</t>
  </si>
  <si>
    <t>% do total</t>
  </si>
  <si>
    <t>Moradia</t>
  </si>
  <si>
    <t>Alimentação</t>
  </si>
  <si>
    <t>Transporte</t>
  </si>
  <si>
    <t>Saúde</t>
  </si>
  <si>
    <t>Educação</t>
  </si>
  <si>
    <t>Lazer</t>
  </si>
  <si>
    <t>Dívidas/Cartão</t>
  </si>
  <si>
    <t>Pessoais</t>
  </si>
  <si>
    <t>Outros</t>
  </si>
  <si>
    <t>Total</t>
  </si>
  <si>
    <t>A conta da empresa não é a sua conta. Comece preenchendo as duas células em amarelo.</t>
  </si>
  <si>
    <t>Exemplos do que entra aqui</t>
  </si>
  <si>
    <t>Aluguel ou financiamento, condomínio, luz, água, internet, IPTU</t>
  </si>
  <si>
    <t>Mercado, feira, restaurante, delivery</t>
  </si>
  <si>
    <t>Combustível, manutenção e seguro do carro, pedágio, estacionamento. ATENÇÃO: se o carro roda pro trabalho, separe o pessoal do que é da empresa (zona-cinza PF x PJ).</t>
  </si>
  <si>
    <t>Plano de saúde, farmácia, consultas, exames</t>
  </si>
  <si>
    <t>Escola dos filhos, cursos, livros</t>
  </si>
  <si>
    <t>Streaming, assinaturas, viagens, passeios</t>
  </si>
  <si>
    <t>Fatura do cartão, parcelas, empréstimos</t>
  </si>
  <si>
    <t>Vestuário, cuidados pessoais, presentes</t>
  </si>
  <si>
    <t>O que não se encaixa acima</t>
  </si>
  <si>
    <t>Tipo: marque cada lançamento como 'fixo' (todo mês, igual) ou 'variável' (muda de mês a mês). O custo de vida mínimo soma os fixos.</t>
  </si>
  <si>
    <t>Data</t>
  </si>
  <si>
    <t>Descrição</t>
  </si>
  <si>
    <t>Valor</t>
  </si>
  <si>
    <t>Tipo</t>
  </si>
  <si>
    <t>05/06/2026</t>
  </si>
  <si>
    <t>Aluguel / financiamento</t>
  </si>
  <si>
    <t>fixo</t>
  </si>
  <si>
    <t>Condomínio</t>
  </si>
  <si>
    <t>10/06/2026</t>
  </si>
  <si>
    <t>Luz</t>
  </si>
  <si>
    <t>variável</t>
  </si>
  <si>
    <t>Água</t>
  </si>
  <si>
    <t>08/06/2026</t>
  </si>
  <si>
    <t>Internet / telefone</t>
  </si>
  <si>
    <t>12/06/2026</t>
  </si>
  <si>
    <t>Mercado</t>
  </si>
  <si>
    <t>15/06/2026</t>
  </si>
  <si>
    <t>Restaurante / delivery</t>
  </si>
  <si>
    <t>06/06/2026</t>
  </si>
  <si>
    <t>Combustível</t>
  </si>
  <si>
    <t>Manutenção / seguro do carro</t>
  </si>
  <si>
    <t>18/06/2026</t>
  </si>
  <si>
    <t>Pedágio / estacionamento</t>
  </si>
  <si>
    <t>Plano de saúde</t>
  </si>
  <si>
    <t>14/06/2026</t>
  </si>
  <si>
    <t>Farmácia</t>
  </si>
  <si>
    <t>Escola dos filhos</t>
  </si>
  <si>
    <t>09/06/2026</t>
  </si>
  <si>
    <t>Cursos / livros</t>
  </si>
  <si>
    <t>Streaming / assinaturas</t>
  </si>
  <si>
    <t>20/06/2026</t>
  </si>
  <si>
    <t>Lazer / viagem</t>
  </si>
  <si>
    <t>11/06/2026</t>
  </si>
  <si>
    <t>Fatura do cartão</t>
  </si>
  <si>
    <t>07/06/2026</t>
  </si>
  <si>
    <t>Parcela de empréstimo</t>
  </si>
  <si>
    <t>16/06/2026</t>
  </si>
  <si>
    <t>Vestuário</t>
  </si>
  <si>
    <t>Cuidados pessoais</t>
  </si>
  <si>
    <t>22/06/2026</t>
  </si>
  <si>
    <t>Diversos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</si>
</sst>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;\(\R\$\ #,##0\);&quot;-&quot;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52B5A"/>
      <name val="Arial"/>
    </font>
    <font>
      <sz val="11"/>
      <color rgb="FF3D4658"/>
      <name val="Arial"/>
    </font>
    <font>
      <i/>
      <sz val="11"/>
      <color rgb="FFB08D2E"/>
      <name val="Arial"/>
    </font>
    <font>
      <b/>
      <sz val="14"/>
      <color rgb="FFFFFFFF"/>
      <name val="Arial"/>
    </font>
    <font>
      <i/>
      <sz val="10"/>
      <color rgb="FFB08D2E"/>
      <name val="Arial"/>
    </font>
    <font>
      <b/>
      <sz val="10"/>
      <color rgb="FF052B5A"/>
      <name val="Arial"/>
    </font>
    <font>
      <b/>
      <sz val="11"/>
      <color rgb="FF0000FF"/>
      <name val="Arial"/>
    </font>
    <font>
      <b/>
      <sz val="11"/>
      <color rgb="FF2E7D46"/>
      <name val="Arial"/>
    </font>
    <font>
      <b/>
      <sz val="11"/>
      <color rgb="FFC0392B"/>
      <name val="Arial"/>
    </font>
    <font>
      <sz val="11"/>
      <color rgb="FF052B5A"/>
      <name val="Arial"/>
    </font>
    <font>
      <i/>
      <sz val="9"/>
      <color rgb="FFB08D2E"/>
      <name val="Arial"/>
    </font>
    <font>
      <sz val="11"/>
      <color rgb="FF3D465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52B5A"/>
      </patternFill>
    </fill>
    <fill>
      <patternFill patternType="solid">
        <fgColor rgb="FFDEBB5F"/>
      </patternFill>
    </fill>
    <fill>
      <patternFill patternType="solid">
        <fgColor rgb="FFFFF7DA"/>
      </patternFill>
    </fill>
    <fill>
      <patternFill patternType="solid">
        <fgColor rgb="FFF5F1E6"/>
      </patternFill>
    </fill>
  </fills>
  <borders count="2">
    <border>
      <left/>
      <right/>
      <top/>
      <bottom/>
      <diagonal/>
    </border>
    <border>
      <left style="thin">
        <color rgb="FFE3DECF"/>
      </left>
      <right style="thin">
        <color rgb="FFE3DECF"/>
      </right>
      <top style="thin">
        <color rgb="FFE3DECF"/>
      </top>
      <bottom style="thin">
        <color rgb="FFE3DEC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/>
    <xf numFmtId="164" fontId="11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0" fillId="0" borderId="0" xfId="0"/>
    <xf numFmtId="0" fontId="7" fillId="3" borderId="0" xfId="0" applyFont="1" applyFill="1" applyAlignment="1">
      <alignment horizontal="left" vertical="center"/>
    </xf>
    <xf numFmtId="0" fontId="12" fillId="0" borderId="0" xfId="0" applyFont="1"/>
    <xf numFmtId="0" fontId="5" fillId="2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1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42" customWidth="1"/>
    <col min="3" max="3" width="18" customWidth="1"/>
    <col min="4" max="4" width="14" customWidth="1"/>
  </cols>
  <sheetData>
    <row r="2" spans="2:4" ht="18" x14ac:dyDescent="0.2">
      <c r="B2" s="24" t="s">
        <v>0</v>
      </c>
      <c r="C2" s="21"/>
      <c r="D2" s="21"/>
    </row>
    <row r="3" spans="2:4" x14ac:dyDescent="0.2">
      <c r="B3" s="20" t="s">
        <v>1</v>
      </c>
      <c r="C3" s="21"/>
      <c r="D3" s="21"/>
    </row>
    <row r="5" spans="2:4" x14ac:dyDescent="0.2">
      <c r="B5" s="22" t="s">
        <v>2</v>
      </c>
      <c r="C5" s="21"/>
      <c r="D5" s="21"/>
    </row>
    <row r="6" spans="2:4" x14ac:dyDescent="0.2">
      <c r="B6" s="1" t="s">
        <v>3</v>
      </c>
      <c r="C6" s="2">
        <f>12000</f>
        <v>12000</v>
      </c>
    </row>
    <row r="7" spans="2:4" x14ac:dyDescent="0.2">
      <c r="B7" s="1" t="s">
        <v>4</v>
      </c>
      <c r="C7" s="3">
        <f>SUM(Lançamentos!$D:$D)</f>
        <v>9940</v>
      </c>
    </row>
    <row r="8" spans="2:4" x14ac:dyDescent="0.2">
      <c r="B8" s="1" t="s">
        <v>5</v>
      </c>
      <c r="C8" s="3">
        <f>SUMIF(Lançamentos!$E:$E,"fixo",Lançamentos!$D:$D)</f>
        <v>4800</v>
      </c>
    </row>
    <row r="9" spans="2:4" x14ac:dyDescent="0.2">
      <c r="B9" s="1" t="s">
        <v>6</v>
      </c>
      <c r="C9" s="3">
        <f>C6-C7</f>
        <v>2060</v>
      </c>
    </row>
    <row r="10" spans="2:4" x14ac:dyDescent="0.2">
      <c r="B10" s="1" t="s">
        <v>7</v>
      </c>
      <c r="C10" s="4">
        <f>IFERROR(C7/C6,0)</f>
        <v>0.82833333333333337</v>
      </c>
    </row>
    <row r="11" spans="2:4" x14ac:dyDescent="0.2">
      <c r="B11" s="1" t="s">
        <v>8</v>
      </c>
      <c r="C11" s="5">
        <f>C8</f>
        <v>4800</v>
      </c>
    </row>
    <row r="13" spans="2:4" x14ac:dyDescent="0.2">
      <c r="B13" s="22" t="s">
        <v>9</v>
      </c>
      <c r="C13" s="21"/>
      <c r="D13" s="21"/>
    </row>
    <row r="14" spans="2:4" x14ac:dyDescent="0.2">
      <c r="B14" s="1" t="s">
        <v>10</v>
      </c>
      <c r="C14" s="2">
        <f>5000</f>
        <v>5000</v>
      </c>
    </row>
    <row r="15" spans="2:4" x14ac:dyDescent="0.2">
      <c r="B15" s="1" t="s">
        <v>11</v>
      </c>
      <c r="C15" s="3">
        <f>C8*3</f>
        <v>14400</v>
      </c>
    </row>
    <row r="16" spans="2:4" x14ac:dyDescent="0.2">
      <c r="B16" s="1" t="s">
        <v>12</v>
      </c>
      <c r="C16" s="6">
        <f>MAX(0,C15-C14)</f>
        <v>9400</v>
      </c>
    </row>
    <row r="18" spans="2:4" x14ac:dyDescent="0.2">
      <c r="B18" s="22" t="s">
        <v>13</v>
      </c>
      <c r="C18" s="21"/>
      <c r="D18" s="21"/>
    </row>
    <row r="19" spans="2:4" x14ac:dyDescent="0.2">
      <c r="B19" s="7" t="s">
        <v>14</v>
      </c>
      <c r="C19" s="8" t="s">
        <v>15</v>
      </c>
      <c r="D19" s="8" t="s">
        <v>16</v>
      </c>
    </row>
    <row r="20" spans="2:4" x14ac:dyDescent="0.2">
      <c r="B20" s="9" t="s">
        <v>17</v>
      </c>
      <c r="C20" s="10">
        <f>SUMIF(Lançamentos!$B:$B,B20,Lançamentos!$D:$D)</f>
        <v>2640</v>
      </c>
      <c r="D20" s="11">
        <f t="shared" ref="D20:D28" si="0">IFERROR(C20/$C$29,0)</f>
        <v>0.26559356136820927</v>
      </c>
    </row>
    <row r="21" spans="2:4" x14ac:dyDescent="0.2">
      <c r="B21" s="9" t="s">
        <v>18</v>
      </c>
      <c r="C21" s="10">
        <f>SUMIF(Lançamentos!$B:$B,B21,Lançamentos!$D:$D)</f>
        <v>1800</v>
      </c>
      <c r="D21" s="11">
        <f t="shared" si="0"/>
        <v>0.18108651911468812</v>
      </c>
    </row>
    <row r="22" spans="2:4" x14ac:dyDescent="0.2">
      <c r="B22" s="9" t="s">
        <v>19</v>
      </c>
      <c r="C22" s="10">
        <f>SUMIF(Lançamentos!$B:$B,B22,Lançamentos!$D:$D)</f>
        <v>1350</v>
      </c>
      <c r="D22" s="11">
        <f t="shared" si="0"/>
        <v>0.1358148893360161</v>
      </c>
    </row>
    <row r="23" spans="2:4" x14ac:dyDescent="0.2">
      <c r="B23" s="9" t="s">
        <v>20</v>
      </c>
      <c r="C23" s="10">
        <f>SUMIF(Lançamentos!$B:$B,B23,Lançamentos!$D:$D)</f>
        <v>670</v>
      </c>
      <c r="D23" s="11">
        <f t="shared" si="0"/>
        <v>6.7404426559356134E-2</v>
      </c>
    </row>
    <row r="24" spans="2:4" x14ac:dyDescent="0.2">
      <c r="B24" s="9" t="s">
        <v>21</v>
      </c>
      <c r="C24" s="10">
        <f>SUMIF(Lançamentos!$B:$B,B24,Lançamentos!$D:$D)</f>
        <v>1050</v>
      </c>
      <c r="D24" s="11">
        <f t="shared" si="0"/>
        <v>0.10563380281690141</v>
      </c>
    </row>
    <row r="25" spans="2:4" x14ac:dyDescent="0.2">
      <c r="B25" s="9" t="s">
        <v>22</v>
      </c>
      <c r="C25" s="10">
        <f>SUMIF(Lançamentos!$B:$B,B25,Lançamentos!$D:$D)</f>
        <v>380</v>
      </c>
      <c r="D25" s="11">
        <f t="shared" si="0"/>
        <v>3.8229376257545272E-2</v>
      </c>
    </row>
    <row r="26" spans="2:4" x14ac:dyDescent="0.2">
      <c r="B26" s="9" t="s">
        <v>23</v>
      </c>
      <c r="C26" s="10">
        <f>SUMIF(Lançamentos!$B:$B,B26,Lançamentos!$D:$D)</f>
        <v>1500</v>
      </c>
      <c r="D26" s="11">
        <f t="shared" si="0"/>
        <v>0.15090543259557343</v>
      </c>
    </row>
    <row r="27" spans="2:4" x14ac:dyDescent="0.2">
      <c r="B27" s="9" t="s">
        <v>24</v>
      </c>
      <c r="C27" s="10">
        <f>SUMIF(Lançamentos!$B:$B,B27,Lançamentos!$D:$D)</f>
        <v>350</v>
      </c>
      <c r="D27" s="11">
        <f t="shared" si="0"/>
        <v>3.5211267605633804E-2</v>
      </c>
    </row>
    <row r="28" spans="2:4" x14ac:dyDescent="0.2">
      <c r="B28" s="9" t="s">
        <v>25</v>
      </c>
      <c r="C28" s="10">
        <f>SUMIF(Lançamentos!$B:$B,B28,Lançamentos!$D:$D)</f>
        <v>200</v>
      </c>
      <c r="D28" s="11">
        <f t="shared" si="0"/>
        <v>2.0120724346076459E-2</v>
      </c>
    </row>
    <row r="29" spans="2:4" x14ac:dyDescent="0.2">
      <c r="B29" s="12" t="s">
        <v>26</v>
      </c>
      <c r="C29" s="13">
        <f>SUM(C20:C28)</f>
        <v>9940</v>
      </c>
      <c r="D29" s="14">
        <f>IFERROR(C29/C29,0)</f>
        <v>1</v>
      </c>
    </row>
    <row r="31" spans="2:4" x14ac:dyDescent="0.2">
      <c r="B31" s="23" t="s">
        <v>27</v>
      </c>
      <c r="C31" s="21"/>
      <c r="D31" s="21"/>
    </row>
  </sheetData>
  <mergeCells count="6">
    <mergeCell ref="B2:D2"/>
    <mergeCell ref="B3:D3"/>
    <mergeCell ref="B5:D5"/>
    <mergeCell ref="B31:D31"/>
    <mergeCell ref="B18:D18"/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8" customWidth="1"/>
    <col min="2" max="2" width="70" customWidth="1"/>
  </cols>
  <sheetData>
    <row r="1" spans="1:2" x14ac:dyDescent="0.2">
      <c r="A1" s="7" t="s">
        <v>14</v>
      </c>
      <c r="B1" s="7" t="s">
        <v>28</v>
      </c>
    </row>
    <row r="2" spans="1:2" x14ac:dyDescent="0.2">
      <c r="A2" s="15" t="s">
        <v>17</v>
      </c>
      <c r="B2" s="16" t="s">
        <v>29</v>
      </c>
    </row>
    <row r="3" spans="1:2" x14ac:dyDescent="0.2">
      <c r="A3" s="15" t="s">
        <v>18</v>
      </c>
      <c r="B3" s="16" t="s">
        <v>30</v>
      </c>
    </row>
    <row r="4" spans="1:2" ht="45" x14ac:dyDescent="0.2">
      <c r="A4" s="15" t="s">
        <v>19</v>
      </c>
      <c r="B4" s="16" t="s">
        <v>31</v>
      </c>
    </row>
    <row r="5" spans="1:2" x14ac:dyDescent="0.2">
      <c r="A5" s="15" t="s">
        <v>20</v>
      </c>
      <c r="B5" s="16" t="s">
        <v>32</v>
      </c>
    </row>
    <row r="6" spans="1:2" x14ac:dyDescent="0.2">
      <c r="A6" s="15" t="s">
        <v>21</v>
      </c>
      <c r="B6" s="16" t="s">
        <v>33</v>
      </c>
    </row>
    <row r="7" spans="1:2" x14ac:dyDescent="0.2">
      <c r="A7" s="15" t="s">
        <v>22</v>
      </c>
      <c r="B7" s="16" t="s">
        <v>34</v>
      </c>
    </row>
    <row r="8" spans="1:2" x14ac:dyDescent="0.2">
      <c r="A8" s="15" t="s">
        <v>23</v>
      </c>
      <c r="B8" s="16" t="s">
        <v>35</v>
      </c>
    </row>
    <row r="9" spans="1:2" x14ac:dyDescent="0.2">
      <c r="A9" s="15" t="s">
        <v>24</v>
      </c>
      <c r="B9" s="16" t="s">
        <v>36</v>
      </c>
    </row>
    <row r="10" spans="1:2" x14ac:dyDescent="0.2">
      <c r="A10" s="15" t="s">
        <v>25</v>
      </c>
      <c r="B10" s="16" t="s">
        <v>37</v>
      </c>
    </row>
    <row r="12" spans="1:2" x14ac:dyDescent="0.2">
      <c r="A12" s="1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32" customWidth="1"/>
    <col min="4" max="4" width="13" customWidth="1"/>
    <col min="5" max="5" width="12" customWidth="1"/>
  </cols>
  <sheetData>
    <row r="1" spans="1:5" x14ac:dyDescent="0.2">
      <c r="A1" s="7" t="s">
        <v>39</v>
      </c>
      <c r="B1" s="7" t="s">
        <v>14</v>
      </c>
      <c r="C1" s="7" t="s">
        <v>40</v>
      </c>
      <c r="D1" s="7" t="s">
        <v>41</v>
      </c>
      <c r="E1" s="7" t="s">
        <v>42</v>
      </c>
    </row>
    <row r="2" spans="1:5" x14ac:dyDescent="0.2">
      <c r="A2" s="18" t="s">
        <v>43</v>
      </c>
      <c r="B2" s="18" t="s">
        <v>17</v>
      </c>
      <c r="C2" s="18" t="s">
        <v>44</v>
      </c>
      <c r="D2" s="19">
        <v>1800</v>
      </c>
      <c r="E2" s="18" t="s">
        <v>45</v>
      </c>
    </row>
    <row r="3" spans="1:5" x14ac:dyDescent="0.2">
      <c r="A3" s="18" t="s">
        <v>43</v>
      </c>
      <c r="B3" s="18" t="s">
        <v>17</v>
      </c>
      <c r="C3" s="18" t="s">
        <v>46</v>
      </c>
      <c r="D3" s="19">
        <v>450</v>
      </c>
      <c r="E3" s="18" t="s">
        <v>45</v>
      </c>
    </row>
    <row r="4" spans="1:5" x14ac:dyDescent="0.2">
      <c r="A4" s="18" t="s">
        <v>47</v>
      </c>
      <c r="B4" s="25" t="s">
        <v>17</v>
      </c>
      <c r="C4" s="18" t="s">
        <v>48</v>
      </c>
      <c r="D4" s="19">
        <v>180</v>
      </c>
      <c r="E4" s="18" t="s">
        <v>49</v>
      </c>
    </row>
    <row r="5" spans="1:5" x14ac:dyDescent="0.2">
      <c r="A5" s="18" t="s">
        <v>47</v>
      </c>
      <c r="B5" s="18" t="s">
        <v>17</v>
      </c>
      <c r="C5" s="18" t="s">
        <v>50</v>
      </c>
      <c r="D5" s="19">
        <v>90</v>
      </c>
      <c r="E5" s="18" t="s">
        <v>49</v>
      </c>
    </row>
    <row r="6" spans="1:5" x14ac:dyDescent="0.2">
      <c r="A6" s="18" t="s">
        <v>51</v>
      </c>
      <c r="B6" s="18" t="s">
        <v>17</v>
      </c>
      <c r="C6" s="18" t="s">
        <v>52</v>
      </c>
      <c r="D6" s="19">
        <v>120</v>
      </c>
      <c r="E6" s="18" t="s">
        <v>45</v>
      </c>
    </row>
    <row r="7" spans="1:5" x14ac:dyDescent="0.2">
      <c r="A7" s="18" t="s">
        <v>53</v>
      </c>
      <c r="B7" s="18" t="s">
        <v>18</v>
      </c>
      <c r="C7" s="18" t="s">
        <v>54</v>
      </c>
      <c r="D7" s="19">
        <v>1200</v>
      </c>
      <c r="E7" s="18" t="s">
        <v>49</v>
      </c>
    </row>
    <row r="8" spans="1:5" x14ac:dyDescent="0.2">
      <c r="A8" s="18" t="s">
        <v>55</v>
      </c>
      <c r="B8" s="18" t="s">
        <v>18</v>
      </c>
      <c r="C8" s="18" t="s">
        <v>56</v>
      </c>
      <c r="D8" s="19">
        <v>600</v>
      </c>
      <c r="E8" s="18" t="s">
        <v>49</v>
      </c>
    </row>
    <row r="9" spans="1:5" x14ac:dyDescent="0.2">
      <c r="A9" s="18" t="s">
        <v>57</v>
      </c>
      <c r="B9" s="18" t="s">
        <v>19</v>
      </c>
      <c r="C9" s="18" t="s">
        <v>58</v>
      </c>
      <c r="D9" s="19">
        <v>800</v>
      </c>
      <c r="E9" s="18" t="s">
        <v>49</v>
      </c>
    </row>
    <row r="10" spans="1:5" x14ac:dyDescent="0.2">
      <c r="A10" s="18" t="s">
        <v>57</v>
      </c>
      <c r="B10" s="18" t="s">
        <v>19</v>
      </c>
      <c r="C10" s="18" t="s">
        <v>59</v>
      </c>
      <c r="D10" s="19">
        <v>400</v>
      </c>
      <c r="E10" s="18" t="s">
        <v>45</v>
      </c>
    </row>
    <row r="11" spans="1:5" x14ac:dyDescent="0.2">
      <c r="A11" s="18" t="s">
        <v>60</v>
      </c>
      <c r="B11" s="18" t="s">
        <v>19</v>
      </c>
      <c r="C11" s="18" t="s">
        <v>61</v>
      </c>
      <c r="D11" s="19">
        <v>150</v>
      </c>
      <c r="E11" s="18" t="s">
        <v>49</v>
      </c>
    </row>
    <row r="12" spans="1:5" x14ac:dyDescent="0.2">
      <c r="A12" s="18" t="s">
        <v>43</v>
      </c>
      <c r="B12" s="18" t="s">
        <v>20</v>
      </c>
      <c r="C12" s="18" t="s">
        <v>62</v>
      </c>
      <c r="D12" s="19">
        <v>550</v>
      </c>
      <c r="E12" s="18" t="s">
        <v>45</v>
      </c>
    </row>
    <row r="13" spans="1:5" x14ac:dyDescent="0.2">
      <c r="A13" s="18" t="s">
        <v>63</v>
      </c>
      <c r="B13" s="18" t="s">
        <v>20</v>
      </c>
      <c r="C13" s="18" t="s">
        <v>64</v>
      </c>
      <c r="D13" s="19">
        <v>120</v>
      </c>
      <c r="E13" s="18" t="s">
        <v>49</v>
      </c>
    </row>
    <row r="14" spans="1:5" x14ac:dyDescent="0.2">
      <c r="A14" s="18" t="s">
        <v>43</v>
      </c>
      <c r="B14" s="18" t="s">
        <v>21</v>
      </c>
      <c r="C14" s="18" t="s">
        <v>65</v>
      </c>
      <c r="D14" s="19">
        <v>900</v>
      </c>
      <c r="E14" s="18" t="s">
        <v>45</v>
      </c>
    </row>
    <row r="15" spans="1:5" x14ac:dyDescent="0.2">
      <c r="A15" s="18" t="s">
        <v>66</v>
      </c>
      <c r="B15" s="18" t="s">
        <v>21</v>
      </c>
      <c r="C15" s="18" t="s">
        <v>67</v>
      </c>
      <c r="D15" s="19">
        <v>150</v>
      </c>
      <c r="E15" s="18" t="s">
        <v>49</v>
      </c>
    </row>
    <row r="16" spans="1:5" x14ac:dyDescent="0.2">
      <c r="A16" s="18" t="s">
        <v>43</v>
      </c>
      <c r="B16" s="18" t="s">
        <v>22</v>
      </c>
      <c r="C16" s="18" t="s">
        <v>68</v>
      </c>
      <c r="D16" s="19">
        <v>80</v>
      </c>
      <c r="E16" s="18" t="s">
        <v>45</v>
      </c>
    </row>
    <row r="17" spans="1:5" x14ac:dyDescent="0.2">
      <c r="A17" s="18" t="s">
        <v>69</v>
      </c>
      <c r="B17" s="18" t="s">
        <v>22</v>
      </c>
      <c r="C17" s="18" t="s">
        <v>70</v>
      </c>
      <c r="D17" s="19">
        <v>300</v>
      </c>
      <c r="E17" s="18" t="s">
        <v>49</v>
      </c>
    </row>
    <row r="18" spans="1:5" x14ac:dyDescent="0.2">
      <c r="A18" s="18" t="s">
        <v>71</v>
      </c>
      <c r="B18" s="18" t="s">
        <v>23</v>
      </c>
      <c r="C18" s="18" t="s">
        <v>72</v>
      </c>
      <c r="D18" s="19">
        <v>1000</v>
      </c>
      <c r="E18" s="18" t="s">
        <v>49</v>
      </c>
    </row>
    <row r="19" spans="1:5" x14ac:dyDescent="0.2">
      <c r="A19" s="18" t="s">
        <v>73</v>
      </c>
      <c r="B19" s="18" t="s">
        <v>23</v>
      </c>
      <c r="C19" s="18" t="s">
        <v>74</v>
      </c>
      <c r="D19" s="19">
        <v>500</v>
      </c>
      <c r="E19" s="18" t="s">
        <v>45</v>
      </c>
    </row>
    <row r="20" spans="1:5" x14ac:dyDescent="0.2">
      <c r="A20" s="18" t="s">
        <v>75</v>
      </c>
      <c r="B20" s="18" t="s">
        <v>24</v>
      </c>
      <c r="C20" s="18" t="s">
        <v>76</v>
      </c>
      <c r="D20" s="19">
        <v>200</v>
      </c>
      <c r="E20" s="18" t="s">
        <v>49</v>
      </c>
    </row>
    <row r="21" spans="1:5" x14ac:dyDescent="0.2">
      <c r="A21" s="18" t="s">
        <v>75</v>
      </c>
      <c r="B21" s="18" t="s">
        <v>24</v>
      </c>
      <c r="C21" s="18" t="s">
        <v>77</v>
      </c>
      <c r="D21" s="19">
        <v>150</v>
      </c>
      <c r="E21" s="18" t="s">
        <v>49</v>
      </c>
    </row>
    <row r="22" spans="1:5" x14ac:dyDescent="0.2">
      <c r="A22" s="18" t="s">
        <v>78</v>
      </c>
      <c r="B22" s="18" t="s">
        <v>25</v>
      </c>
      <c r="C22" s="18" t="s">
        <v>79</v>
      </c>
      <c r="D22" s="19">
        <v>200</v>
      </c>
      <c r="E22" s="18" t="s">
        <v>49</v>
      </c>
    </row>
  </sheetData>
  <dataValidations count="1">
    <dataValidation type="list" allowBlank="1" sqref="E2:E400" xr:uid="{00000000-0002-0000-0200-000001000000}">
      <formula1>"fixo,variável"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Categorias!$A$2:$A$10</xm:f>
          </x14:formula1>
          <xm:sqref>B2:B400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</vt:lpstr>
      <vt:lpstr>Categorias</vt:lpstr>
      <vt:lpstr>Lançamentos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Borges</cp:lastModifiedBy>
  <dcterms:created xsi:type="dcterms:W3CDTF">2026-06-26T23:13:29Z</dcterms:created>
  <dcterms:modified xsi:type="dcterms:W3CDTF">2026-06-27T00:38:47Z</dcterms:modified>
</cp:coreProperties>
</file>